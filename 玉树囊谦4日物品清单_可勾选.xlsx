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4日物品清单" sheetId="1" state="visible" r:id="rId1"/>
    <sheet name="分类统计" sheetId="2" state="visible" r:id="rId2"/>
  </sheets>
  <definedNames>
    <definedName name="_xlnm._FilterDatabase" localSheetId="0" hidden="1">'4日物品清单'!$A$5:$E$88</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Microsoft YaHei"/>
      <b val="1"/>
      <color rgb="001A2C46"/>
      <sz val="18"/>
    </font>
    <font>
      <name val="Microsoft YaHei"/>
      <color rgb="005A6A82"/>
      <sz val="10"/>
    </font>
    <font>
      <name val="Microsoft YaHei"/>
      <i val="1"/>
      <color rgb="007A8AA0"/>
      <sz val="9"/>
    </font>
    <font>
      <name val="Microsoft YaHei"/>
      <b val="1"/>
      <color rgb="00FFFFFF"/>
      <sz val="10"/>
    </font>
    <font>
      <name val="Microsoft YaHei"/>
      <b val="1"/>
      <color rgb="00FFFFFF"/>
      <sz val="11"/>
    </font>
    <font>
      <name val="Microsoft YaHei"/>
      <color rgb="001A2C46"/>
      <sz val="10"/>
    </font>
    <font>
      <name val="Microsoft YaHei"/>
      <color rgb="005A6A82"/>
      <sz val="9"/>
    </font>
    <font>
      <name val="Microsoft YaHei"/>
      <b val="1"/>
      <color rgb="001A2C46"/>
      <sz val="10"/>
    </font>
    <font>
      <name val="Microsoft YaHei"/>
      <b val="1"/>
      <color rgb="00B03A3A"/>
      <sz val="9"/>
    </font>
    <font>
      <name val="Microsoft YaHei"/>
      <b val="1"/>
      <color rgb="008A6A1E"/>
      <sz val="9"/>
    </font>
    <font>
      <name val="Microsoft YaHei"/>
      <b val="1"/>
      <color rgb="00B03A3A"/>
      <sz val="11"/>
    </font>
    <font>
      <name val="Microsoft YaHei"/>
      <color rgb="003A3A3A"/>
      <sz val="9"/>
    </font>
    <font>
      <name val="Microsoft YaHei"/>
      <b val="1"/>
      <color rgb="001A2C46"/>
      <sz val="14"/>
    </font>
  </fonts>
  <fills count="14">
    <fill>
      <patternFill/>
    </fill>
    <fill>
      <patternFill patternType="gray125"/>
    </fill>
    <fill>
      <patternFill patternType="solid">
        <fgColor rgb="001A2C46"/>
      </patternFill>
    </fill>
    <fill>
      <patternFill patternType="solid">
        <fgColor rgb="001E5B8A"/>
      </patternFill>
    </fill>
    <fill>
      <patternFill patternType="solid">
        <fgColor rgb="00FFE0E0"/>
      </patternFill>
    </fill>
    <fill>
      <patternFill patternType="solid">
        <fgColor rgb="002C6E49"/>
      </patternFill>
    </fill>
    <fill>
      <patternFill patternType="solid">
        <fgColor rgb="00FFF4D6"/>
      </patternFill>
    </fill>
    <fill>
      <patternFill patternType="solid">
        <fgColor rgb="008A4A1E"/>
      </patternFill>
    </fill>
    <fill>
      <patternFill patternType="solid">
        <fgColor rgb="00B03A3A"/>
      </patternFill>
    </fill>
    <fill>
      <patternFill patternType="solid">
        <fgColor rgb="006A2C8A"/>
      </patternFill>
    </fill>
    <fill>
      <patternFill patternType="solid">
        <fgColor rgb="001976D2"/>
      </patternFill>
    </fill>
    <fill>
      <patternFill patternType="solid">
        <fgColor rgb="005A4A18"/>
      </patternFill>
    </fill>
    <fill>
      <patternFill patternType="solid">
        <fgColor rgb="004A4A4A"/>
      </patternFill>
    </fill>
    <fill>
      <patternFill patternType="solid">
        <fgColor rgb="00F5F0EB"/>
      </patternFill>
    </fill>
  </fills>
  <borders count="2">
    <border>
      <left/>
      <right/>
      <top/>
      <bottom/>
      <diagonal/>
    </border>
    <border>
      <left style="thin">
        <color rgb="00D0D8E0"/>
      </left>
      <right style="thin">
        <color rgb="00D0D8E0"/>
      </right>
      <top style="thin">
        <color rgb="00D0D8E0"/>
      </top>
      <bottom style="thin">
        <color rgb="00D0D8E0"/>
      </bottom>
    </border>
  </borders>
  <cellStyleXfs count="1">
    <xf numFmtId="0" fontId="0" fillId="0" borderId="0"/>
  </cellStyleXfs>
  <cellXfs count="25">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3" fillId="0" borderId="0" applyAlignment="1" pivotButton="0" quotePrefix="0" xfId="0">
      <alignment horizontal="center" vertical="center" wrapText="1"/>
    </xf>
    <xf numFmtId="0" fontId="4" fillId="2" borderId="1" applyAlignment="1" pivotButton="0" quotePrefix="0" xfId="0">
      <alignment horizontal="center" vertical="center" wrapText="1"/>
    </xf>
    <xf numFmtId="0" fontId="5" fillId="3" borderId="0" applyAlignment="1" pivotButton="0" quotePrefix="0" xfId="0">
      <alignment horizontal="left" vertical="center" indent="1"/>
    </xf>
    <xf numFmtId="0" fontId="0"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7" fillId="0" borderId="1" applyAlignment="1" pivotButton="0" quotePrefix="0" xfId="0">
      <alignment horizontal="left" vertical="center" wrapText="1"/>
    </xf>
    <xf numFmtId="0" fontId="8" fillId="0" borderId="1" applyAlignment="1" pivotButton="0" quotePrefix="0" xfId="0">
      <alignment horizontal="center" vertical="center" wrapText="1"/>
    </xf>
    <xf numFmtId="0" fontId="9" fillId="4" borderId="1" applyAlignment="1" pivotButton="0" quotePrefix="0" xfId="0">
      <alignment horizontal="center" vertical="center" wrapText="1"/>
    </xf>
    <xf numFmtId="0" fontId="5" fillId="5" borderId="0" applyAlignment="1" pivotButton="0" quotePrefix="0" xfId="0">
      <alignment horizontal="left" vertical="center" indent="1"/>
    </xf>
    <xf numFmtId="0" fontId="10" fillId="6" borderId="1" applyAlignment="1" pivotButton="0" quotePrefix="0" xfId="0">
      <alignment horizontal="center" vertical="center" wrapText="1"/>
    </xf>
    <xf numFmtId="0" fontId="5" fillId="7" borderId="0" applyAlignment="1" pivotButton="0" quotePrefix="0" xfId="0">
      <alignment horizontal="left" vertical="center" indent="1"/>
    </xf>
    <xf numFmtId="0" fontId="5" fillId="8" borderId="0" applyAlignment="1" pivotButton="0" quotePrefix="0" xfId="0">
      <alignment horizontal="left" vertical="center" indent="1"/>
    </xf>
    <xf numFmtId="0" fontId="5" fillId="9" borderId="0" applyAlignment="1" pivotButton="0" quotePrefix="0" xfId="0">
      <alignment horizontal="left" vertical="center" indent="1"/>
    </xf>
    <xf numFmtId="0" fontId="5" fillId="10" borderId="0" applyAlignment="1" pivotButton="0" quotePrefix="0" xfId="0">
      <alignment horizontal="left" vertical="center" indent="1"/>
    </xf>
    <xf numFmtId="0" fontId="5" fillId="11" borderId="0" applyAlignment="1" pivotButton="0" quotePrefix="0" xfId="0">
      <alignment horizontal="left" vertical="center" indent="1"/>
    </xf>
    <xf numFmtId="0" fontId="5" fillId="12" borderId="0" applyAlignment="1" pivotButton="0" quotePrefix="0" xfId="0">
      <alignment horizontal="left" vertical="center" indent="1"/>
    </xf>
    <xf numFmtId="0" fontId="11" fillId="13" borderId="0" applyAlignment="1" pivotButton="0" quotePrefix="0" xfId="0">
      <alignment horizontal="left" vertical="center" indent="1"/>
    </xf>
    <xf numFmtId="0" fontId="9" fillId="13" borderId="0" applyAlignment="1" pivotButton="0" quotePrefix="0" xfId="0">
      <alignment horizontal="left" vertical="center" wrapText="1"/>
    </xf>
    <xf numFmtId="0" fontId="0" fillId="13" borderId="0" pivotButton="0" quotePrefix="0" xfId="0"/>
    <xf numFmtId="0" fontId="12" fillId="13" borderId="0" applyAlignment="1" pivotButton="0" quotePrefix="0" xfId="0">
      <alignment horizontal="left" vertical="center" wrapText="1"/>
    </xf>
    <xf numFmtId="0" fontId="13" fillId="0" borderId="0" applyAlignment="1" pivotButton="0" quotePrefix="0" xfId="0">
      <alignment horizontal="center" vertical="center" wrapText="1"/>
    </xf>
    <xf numFmtId="0" fontId="4"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7"/>
  <sheetViews>
    <sheetView workbookViewId="0">
      <pane ySplit="5" topLeftCell="A6" activePane="bottomLeft" state="frozen"/>
      <selection pane="bottomLeft" activeCell="A1" sqref="A1"/>
    </sheetView>
  </sheetViews>
  <sheetFormatPr baseColWidth="8" defaultRowHeight="15"/>
  <cols>
    <col width="5" customWidth="1" min="1" max="1"/>
    <col width="28" customWidth="1" min="2" max="2"/>
    <col width="32" customWidth="1" min="3" max="3"/>
    <col width="7" customWidth="1" min="4" max="4"/>
    <col width="8" customWidth="1" min="5" max="5"/>
  </cols>
  <sheetData>
    <row r="1" ht="30" customHeight="1">
      <c r="A1" s="1" t="inlineStr">
        <is>
          <t>玉树 · 巴塘 · 囊谦 4 日物品清单</t>
        </is>
      </c>
    </row>
    <row r="2" ht="18" customHeight="1">
      <c r="A2" s="2" t="inlineStr">
        <is>
          <t>行程日期 2026-09-23 ~ 2026-09-27  |  海拔 3640-4200m  |  气温 -5~15℃</t>
        </is>
      </c>
    </row>
    <row r="3" ht="16" customHeight="1">
      <c r="A3" s="3" t="inlineStr">
        <is>
          <t>勾选方法：A 列下拉选 ✓ 表示已备；或打印后手动打勾</t>
        </is>
      </c>
    </row>
    <row r="5" ht="24" customHeight="1">
      <c r="A5" s="4" t="inlineStr">
        <is>
          <t>✓</t>
        </is>
      </c>
      <c r="B5" s="4" t="inlineStr">
        <is>
          <t>物品名称</t>
        </is>
      </c>
      <c r="C5" s="4" t="inlineStr">
        <is>
          <t>备注/用途</t>
        </is>
      </c>
      <c r="D5" s="4" t="inlineStr">
        <is>
          <t>数量</t>
        </is>
      </c>
      <c r="E5" s="4" t="inlineStr">
        <is>
          <t>优先级</t>
        </is>
      </c>
    </row>
    <row r="6" ht="22" customHeight="1">
      <c r="A6" s="5" t="inlineStr">
        <is>
          <t>一、证件与现金</t>
        </is>
      </c>
    </row>
    <row r="7" ht="20" customHeight="1">
      <c r="A7" s="6" t="inlineStr"/>
      <c r="B7" s="7" t="inlineStr">
        <is>
          <t>身份证</t>
        </is>
      </c>
      <c r="C7" s="8" t="inlineStr">
        <is>
          <t>机场/酒店/寺院实名登记</t>
        </is>
      </c>
      <c r="D7" s="9" t="n">
        <v>1</v>
      </c>
      <c r="E7" s="10" t="inlineStr">
        <is>
          <t>必备</t>
        </is>
      </c>
    </row>
    <row r="8" ht="20" customHeight="1">
      <c r="A8" s="6" t="inlineStr"/>
      <c r="B8" s="7" t="inlineStr">
        <is>
          <t>往返机票/登机牌</t>
        </is>
      </c>
      <c r="C8" s="8" t="inlineStr">
        <is>
          <t>9/23 落地、9/27 离港，提前值机</t>
        </is>
      </c>
      <c r="D8" s="9" t="n">
        <v>1</v>
      </c>
      <c r="E8" s="10" t="inlineStr">
        <is>
          <t>必备</t>
        </is>
      </c>
    </row>
    <row r="9" ht="20" customHeight="1">
      <c r="A9" s="6" t="inlineStr"/>
      <c r="B9" s="7" t="inlineStr">
        <is>
          <t>现金 800-1500 元</t>
        </is>
      </c>
      <c r="C9" s="8" t="inlineStr">
        <is>
          <t>偏远寺院信号差，备零钱</t>
        </is>
      </c>
      <c r="D9" s="9" t="n">
        <v>1</v>
      </c>
      <c r="E9" s="10" t="inlineStr">
        <is>
          <t>必备</t>
        </is>
      </c>
    </row>
    <row r="10" ht="20" customHeight="1">
      <c r="A10" s="6" t="inlineStr"/>
      <c r="B10" s="7" t="inlineStr">
        <is>
          <t>银行卡/支付宝</t>
        </is>
      </c>
      <c r="C10" s="8" t="inlineStr">
        <is>
          <t>结古、囊谦县城可用</t>
        </is>
      </c>
      <c r="D10" s="9" t="n">
        <v>1</v>
      </c>
      <c r="E10" s="10" t="inlineStr">
        <is>
          <t>必备</t>
        </is>
      </c>
    </row>
    <row r="11" ht="20" customHeight="1">
      <c r="A11" s="6" t="inlineStr"/>
      <c r="B11" s="7" t="inlineStr">
        <is>
          <t>紧急联系卡</t>
        </is>
      </c>
      <c r="C11" s="8" t="inlineStr">
        <is>
          <t>血型、过敏史、家人电话</t>
        </is>
      </c>
      <c r="D11" s="9" t="n">
        <v>1</v>
      </c>
      <c r="E11" s="10" t="inlineStr">
        <is>
          <t>必备</t>
        </is>
      </c>
    </row>
    <row r="13" ht="22" customHeight="1">
      <c r="A13" s="11" t="inlineStr">
        <is>
          <t>二、衣物(分层+防风保暖)</t>
        </is>
      </c>
    </row>
    <row r="14" ht="20" customHeight="1">
      <c r="A14" s="6" t="inlineStr"/>
      <c r="B14" s="7" t="inlineStr">
        <is>
          <t>800 蓬羽绒服</t>
        </is>
      </c>
      <c r="C14" s="8" t="inlineStr">
        <is>
          <t>隆宝滩 4200m / 清晨送机必用</t>
        </is>
      </c>
      <c r="D14" s="9" t="n">
        <v>1</v>
      </c>
      <c r="E14" s="10" t="inlineStr">
        <is>
          <t>必备</t>
        </is>
      </c>
    </row>
    <row r="15" ht="20" customHeight="1">
      <c r="A15" s="6" t="inlineStr"/>
      <c r="B15" s="7" t="inlineStr">
        <is>
          <t>抓绒衣/中厚 fleece</t>
        </is>
      </c>
      <c r="C15" s="8" t="inlineStr">
        <is>
          <t>中间层</t>
        </is>
      </c>
      <c r="D15" s="9" t="n">
        <v>1</v>
      </c>
      <c r="E15" s="10" t="inlineStr">
        <is>
          <t>必备</t>
        </is>
      </c>
    </row>
    <row r="16" ht="20" customHeight="1">
      <c r="A16" s="6" t="inlineStr"/>
      <c r="B16" s="7" t="inlineStr">
        <is>
          <t>美利奴打底衣裤</t>
        </is>
      </c>
      <c r="C16" s="8" t="inlineStr">
        <is>
          <t>速干、2 套</t>
        </is>
      </c>
      <c r="D16" s="9" t="n">
        <v>2</v>
      </c>
      <c r="E16" s="10" t="inlineStr">
        <is>
          <t>必备</t>
        </is>
      </c>
    </row>
    <row r="17" ht="20" customHeight="1">
      <c r="A17" s="6" t="inlineStr"/>
      <c r="B17" s="7" t="inlineStr">
        <is>
          <t>软壳防风裤</t>
        </is>
      </c>
      <c r="C17" s="8" t="inlineStr">
        <is>
          <t>囊谦峡谷风大</t>
        </is>
      </c>
      <c r="D17" s="9" t="n">
        <v>1</v>
      </c>
      <c r="E17" s="10" t="inlineStr">
        <is>
          <t>必备</t>
        </is>
      </c>
    </row>
    <row r="18" ht="20" customHeight="1">
      <c r="A18" s="6" t="inlineStr"/>
      <c r="B18" s="7" t="inlineStr">
        <is>
          <t>速干长袖 + 长袖T</t>
        </is>
      </c>
      <c r="C18" s="8" t="inlineStr">
        <is>
          <t>各 2，寺院忌短袖短裤</t>
        </is>
      </c>
      <c r="D18" s="9" t="n">
        <v>2</v>
      </c>
      <c r="E18" s="10" t="inlineStr">
        <is>
          <t>必备</t>
        </is>
      </c>
    </row>
    <row r="19" ht="20" customHeight="1">
      <c r="A19" s="6" t="inlineStr"/>
      <c r="B19" s="7" t="inlineStr">
        <is>
          <t>内衣裤袜</t>
        </is>
      </c>
      <c r="C19" s="8" t="inlineStr">
        <is>
          <t>4 套，速干款</t>
        </is>
      </c>
      <c r="D19" s="9" t="n">
        <v>4</v>
      </c>
      <c r="E19" s="10" t="inlineStr">
        <is>
          <t>必备</t>
        </is>
      </c>
    </row>
    <row r="20" ht="20" customHeight="1">
      <c r="A20" s="6" t="inlineStr"/>
      <c r="B20" s="7" t="inlineStr">
        <is>
          <t>速干毛巾</t>
        </is>
      </c>
      <c r="C20" s="8" t="inlineStr">
        <is>
          <t>2，客栈不一定提供</t>
        </is>
      </c>
      <c r="D20" s="9" t="n">
        <v>2</v>
      </c>
      <c r="E20" s="10" t="inlineStr">
        <is>
          <t>必备</t>
        </is>
      </c>
    </row>
    <row r="21" ht="20" customHeight="1">
      <c r="A21" s="6" t="inlineStr"/>
      <c r="B21" s="7" t="inlineStr">
        <is>
          <t>徒步羊毛袜</t>
        </is>
      </c>
      <c r="C21" s="8" t="inlineStr">
        <is>
          <t>3 双，防磨脚</t>
        </is>
      </c>
      <c r="D21" s="9" t="n">
        <v>3</v>
      </c>
      <c r="E21" s="10" t="inlineStr">
        <is>
          <t>必备</t>
        </is>
      </c>
    </row>
    <row r="22" ht="20" customHeight="1">
      <c r="A22" s="6" t="inlineStr"/>
      <c r="B22" s="7" t="inlineStr">
        <is>
          <t>中帮防水徒步鞋</t>
        </is>
      </c>
      <c r="C22" s="8" t="inlineStr">
        <is>
          <t>已磨合好；尕尔寺 6km 必备</t>
        </is>
      </c>
      <c r="D22" s="9" t="n">
        <v>1</v>
      </c>
      <c r="E22" s="10" t="inlineStr">
        <is>
          <t>必备</t>
        </is>
      </c>
    </row>
    <row r="23" ht="20" customHeight="1">
      <c r="A23" s="6" t="inlineStr"/>
      <c r="B23" s="7" t="inlineStr">
        <is>
          <t>便鞋/营地鞋</t>
        </is>
      </c>
      <c r="C23" s="8" t="inlineStr">
        <is>
          <t>车内/客栈换穿</t>
        </is>
      </c>
      <c r="D23" s="9" t="n">
        <v>1</v>
      </c>
      <c r="E23" s="12" t="inlineStr">
        <is>
          <t>推荐</t>
        </is>
      </c>
    </row>
    <row r="24" ht="20" customHeight="1">
      <c r="A24" s="6" t="inlineStr"/>
      <c r="B24" s="7" t="inlineStr">
        <is>
          <t>冷帽/抓绒帽</t>
        </is>
      </c>
      <c r="C24" s="8" t="inlineStr">
        <is>
          <t>高原头部保温最关键</t>
        </is>
      </c>
      <c r="D24" s="9" t="n">
        <v>1</v>
      </c>
      <c r="E24" s="10" t="inlineStr">
        <is>
          <t>必备</t>
        </is>
      </c>
    </row>
    <row r="25" ht="20" customHeight="1">
      <c r="A25" s="6" t="inlineStr"/>
      <c r="B25" s="7" t="inlineStr">
        <is>
          <t>防风手套</t>
        </is>
      </c>
      <c r="C25" s="8" t="inlineStr">
        <is>
          <t>清晨拍照不冻手</t>
        </is>
      </c>
      <c r="D25" s="9" t="n">
        <v>1</v>
      </c>
      <c r="E25" s="10" t="inlineStr">
        <is>
          <t>必备</t>
        </is>
      </c>
    </row>
    <row r="26" ht="20" customHeight="1">
      <c r="A26" s="6" t="inlineStr"/>
      <c r="B26" s="7" t="inlineStr">
        <is>
          <t>围脖/Buff</t>
        </is>
      </c>
      <c r="C26" s="8" t="inlineStr">
        <is>
          <t>防风沙、防晒脖</t>
        </is>
      </c>
      <c r="D26" s="9" t="n">
        <v>1</v>
      </c>
      <c r="E26" s="12" t="inlineStr">
        <is>
          <t>推荐</t>
        </is>
      </c>
    </row>
    <row r="27" ht="20" customHeight="1">
      <c r="A27" s="6" t="inlineStr"/>
      <c r="B27" s="7" t="inlineStr">
        <is>
          <t>折叠雨披</t>
        </is>
      </c>
      <c r="C27" s="8" t="inlineStr">
        <is>
          <t>9 月底偶有雨雪</t>
        </is>
      </c>
      <c r="D27" s="9" t="n">
        <v>1</v>
      </c>
      <c r="E27" s="12" t="inlineStr">
        <is>
          <t>推荐</t>
        </is>
      </c>
    </row>
    <row r="29" ht="22" customHeight="1">
      <c r="A29" s="13" t="inlineStr">
        <is>
          <t>三、防晒(紫外线极强)</t>
        </is>
      </c>
    </row>
    <row r="30" ht="20" customHeight="1">
      <c r="A30" s="6" t="inlineStr"/>
      <c r="B30" s="7" t="inlineStr">
        <is>
          <t>SPF50+ PA++++ 防晒霜</t>
        </is>
      </c>
      <c r="C30" s="8" t="inlineStr">
        <is>
          <t>50ml，每 2 小时补涂</t>
        </is>
      </c>
      <c r="D30" s="9" t="n">
        <v>1</v>
      </c>
      <c r="E30" s="10" t="inlineStr">
        <is>
          <t>必备</t>
        </is>
      </c>
    </row>
    <row r="31" ht="20" customHeight="1">
      <c r="A31" s="6" t="inlineStr"/>
      <c r="B31" s="7" t="inlineStr">
        <is>
          <t>SPF 润唇膏</t>
        </is>
      </c>
      <c r="C31" s="8" t="inlineStr">
        <is>
          <t>2 支，高原嘴唇易裂</t>
        </is>
      </c>
      <c r="D31" s="9" t="n">
        <v>2</v>
      </c>
      <c r="E31" s="10" t="inlineStr">
        <is>
          <t>必备</t>
        </is>
      </c>
    </row>
    <row r="32" ht="20" customHeight="1">
      <c r="A32" s="6" t="inlineStr"/>
      <c r="B32" s="7" t="inlineStr">
        <is>
          <t>UV400 包裹式墨镜</t>
        </is>
      </c>
      <c r="C32" s="8" t="inlineStr">
        <is>
          <t>偏光款更佳，防雪盲</t>
        </is>
      </c>
      <c r="D32" s="9" t="n">
        <v>1</v>
      </c>
      <c r="E32" s="10" t="inlineStr">
        <is>
          <t>必备</t>
        </is>
      </c>
    </row>
    <row r="33" ht="20" customHeight="1">
      <c r="A33" s="6" t="inlineStr"/>
      <c r="B33" s="7" t="inlineStr">
        <is>
          <t>宽檐防晒帽</t>
        </is>
      </c>
      <c r="C33" s="8" t="inlineStr">
        <is>
          <t>寺庙入内脱帽</t>
        </is>
      </c>
      <c r="D33" s="9" t="n">
        <v>1</v>
      </c>
      <c r="E33" s="10" t="inlineStr">
        <is>
          <t>必备</t>
        </is>
      </c>
    </row>
    <row r="34" ht="20" customHeight="1">
      <c r="A34" s="6" t="inlineStr"/>
      <c r="B34" s="7" t="inlineStr">
        <is>
          <t>防晒面罩/口罩</t>
        </is>
      </c>
      <c r="C34" s="8" t="inlineStr">
        <is>
          <t>1</t>
        </is>
      </c>
      <c r="D34" s="9" t="n">
        <v>1</v>
      </c>
      <c r="E34" s="12" t="inlineStr">
        <is>
          <t>推荐</t>
        </is>
      </c>
    </row>
    <row r="36" ht="22" customHeight="1">
      <c r="A36" s="14" t="inlineStr">
        <is>
          <t>四、高反 &amp; 常用药</t>
        </is>
      </c>
    </row>
    <row r="37" ht="20" customHeight="1">
      <c r="A37" s="6" t="inlineStr"/>
      <c r="B37" s="7" t="inlineStr">
        <is>
          <t>红景天(胶囊/口服液)</t>
        </is>
      </c>
      <c r="C37" s="8" t="inlineStr">
        <is>
          <t>9/16-18 起服，出发前 5-7 天</t>
        </is>
      </c>
      <c r="D37" s="9" t="n">
        <v>2</v>
      </c>
      <c r="E37" s="10" t="inlineStr">
        <is>
          <t>必备</t>
        </is>
      </c>
    </row>
    <row r="38" ht="20" customHeight="1">
      <c r="A38" s="6" t="inlineStr"/>
      <c r="B38" s="7" t="inlineStr">
        <is>
          <t>乙酰唑胺(Diamox)</t>
        </is>
      </c>
      <c r="C38" s="8" t="inlineStr">
        <is>
          <t>备用，遵医嘱；高反头痛半片</t>
        </is>
      </c>
      <c r="D38" s="9" t="n">
        <v>1</v>
      </c>
      <c r="E38" s="10" t="inlineStr">
        <is>
          <t>必备</t>
        </is>
      </c>
    </row>
    <row r="39" ht="20" customHeight="1">
      <c r="A39" s="6" t="inlineStr"/>
      <c r="B39" s="7" t="inlineStr">
        <is>
          <t>布洛芬</t>
        </is>
      </c>
      <c r="C39" s="8" t="inlineStr">
        <is>
          <t>头痛、肌肉酸痛</t>
        </is>
      </c>
      <c r="D39" s="9" t="n">
        <v>1</v>
      </c>
      <c r="E39" s="10" t="inlineStr">
        <is>
          <t>必备</t>
        </is>
      </c>
    </row>
    <row r="40" ht="20" customHeight="1">
      <c r="A40" s="6" t="inlineStr"/>
      <c r="B40" s="7" t="inlineStr">
        <is>
          <t>葡萄糖口服液/片</t>
        </is>
      </c>
      <c r="C40" s="8" t="inlineStr">
        <is>
          <t>体力补充</t>
        </is>
      </c>
      <c r="D40" s="9" t="n">
        <v>5</v>
      </c>
      <c r="E40" s="10" t="inlineStr">
        <is>
          <t>必备</t>
        </is>
      </c>
    </row>
    <row r="41" ht="20" customHeight="1">
      <c r="A41" s="6" t="inlineStr"/>
      <c r="B41" s="7" t="inlineStr">
        <is>
          <t>便携氧气罐</t>
        </is>
      </c>
      <c r="C41" s="8" t="inlineStr">
        <is>
          <t>1-2 罐，玉树药店购</t>
        </is>
      </c>
      <c r="D41" s="9" t="n">
        <v>2</v>
      </c>
      <c r="E41" s="10" t="inlineStr">
        <is>
          <t>必备</t>
        </is>
      </c>
    </row>
    <row r="42" ht="20" customHeight="1">
      <c r="A42" s="6" t="inlineStr"/>
      <c r="B42" s="7" t="inlineStr">
        <is>
          <t>晕车药(茶苯海明)</t>
        </is>
      </c>
      <c r="C42" s="8" t="inlineStr">
        <is>
          <t>G214 觉隆尕峡、尕尔寺盘山路</t>
        </is>
      </c>
      <c r="D42" s="9" t="n">
        <v>6</v>
      </c>
      <c r="E42" s="10" t="inlineStr">
        <is>
          <t>必备</t>
        </is>
      </c>
    </row>
    <row r="43" ht="20" customHeight="1">
      <c r="A43" s="6" t="inlineStr"/>
      <c r="B43" s="7" t="inlineStr">
        <is>
          <t>肠胃药(蒙脱石/藿香)</t>
        </is>
      </c>
      <c r="C43" s="8" t="inlineStr">
        <is>
          <t>藏餐油腻/水土</t>
        </is>
      </c>
      <c r="D43" s="9" t="n">
        <v>6</v>
      </c>
      <c r="E43" s="10" t="inlineStr">
        <is>
          <t>必备</t>
        </is>
      </c>
    </row>
    <row r="44" ht="20" customHeight="1">
      <c r="A44" s="6" t="inlineStr"/>
      <c r="B44" s="7" t="inlineStr">
        <is>
          <t>感冒药(板蓝根/泰诺)</t>
        </is>
      </c>
      <c r="C44" s="8" t="inlineStr">
        <is>
          <t>降温着凉</t>
        </is>
      </c>
      <c r="D44" s="9" t="n">
        <v>6</v>
      </c>
      <c r="E44" s="10" t="inlineStr">
        <is>
          <t>必备</t>
        </is>
      </c>
    </row>
    <row r="45" ht="20" customHeight="1">
      <c r="A45" s="6" t="inlineStr"/>
      <c r="B45" s="7" t="inlineStr">
        <is>
          <t>创可贴/碘伏棉签/肌肉贴</t>
        </is>
      </c>
      <c r="C45" s="8" t="inlineStr">
        <is>
          <t>徒步小伤</t>
        </is>
      </c>
      <c r="D45" s="9" t="n">
        <v>1</v>
      </c>
      <c r="E45" s="10" t="inlineStr">
        <is>
          <t>必备</t>
        </is>
      </c>
    </row>
    <row r="46" ht="20" customHeight="1">
      <c r="A46" s="6" t="inlineStr"/>
      <c r="B46" s="7" t="inlineStr">
        <is>
          <t>个人慢性病药</t>
        </is>
      </c>
      <c r="C46" s="8" t="inlineStr">
        <is>
          <t>足量</t>
        </is>
      </c>
      <c r="D46" s="9" t="n">
        <v>1</v>
      </c>
      <c r="E46" s="10" t="inlineStr">
        <is>
          <t>必备</t>
        </is>
      </c>
    </row>
    <row r="48" ht="22" customHeight="1">
      <c r="A48" s="15" t="inlineStr">
        <is>
          <t>五、徒步 &amp; 户外</t>
        </is>
      </c>
    </row>
    <row r="49" ht="20" customHeight="1">
      <c r="A49" s="6" t="inlineStr"/>
      <c r="B49" s="7" t="inlineStr">
        <is>
          <t>25-30L 日间背包</t>
        </is>
      </c>
      <c r="C49" s="8" t="inlineStr">
        <is>
          <t>每日随身</t>
        </is>
      </c>
      <c r="D49" s="9" t="n">
        <v>1</v>
      </c>
      <c r="E49" s="10" t="inlineStr">
        <is>
          <t>必备</t>
        </is>
      </c>
    </row>
    <row r="50" ht="20" customHeight="1">
      <c r="A50" s="6" t="inlineStr"/>
      <c r="B50" s="7" t="inlineStr">
        <is>
          <t>折叠登山杖</t>
        </is>
      </c>
      <c r="C50" s="8" t="inlineStr">
        <is>
          <t>1-2 根，护膝</t>
        </is>
      </c>
      <c r="D50" s="9" t="n">
        <v>2</v>
      </c>
      <c r="E50" s="10" t="inlineStr">
        <is>
          <t>必备</t>
        </is>
      </c>
    </row>
    <row r="51" ht="20" customHeight="1">
      <c r="A51" s="6" t="inlineStr"/>
      <c r="B51" s="7" t="inlineStr">
        <is>
          <t>1.5L 水壶/保温壶</t>
        </is>
      </c>
      <c r="C51" s="8" t="inlineStr">
        <is>
          <t>高原易脱水</t>
        </is>
      </c>
      <c r="D51" s="9" t="n">
        <v>1</v>
      </c>
      <c r="E51" s="10" t="inlineStr">
        <is>
          <t>必备</t>
        </is>
      </c>
    </row>
    <row r="52" ht="20" customHeight="1">
      <c r="A52" s="6" t="inlineStr"/>
      <c r="B52" s="7" t="inlineStr">
        <is>
          <t>头灯 + 备用电池</t>
        </is>
      </c>
      <c r="C52" s="8" t="inlineStr">
        <is>
          <t>早起赶航班 / 峡谷阴天</t>
        </is>
      </c>
      <c r="D52" s="9" t="n">
        <v>1</v>
      </c>
      <c r="E52" s="10" t="inlineStr">
        <is>
          <t>必备</t>
        </is>
      </c>
    </row>
    <row r="53" ht="20" customHeight="1">
      <c r="A53" s="6" t="inlineStr"/>
      <c r="B53" s="7" t="inlineStr">
        <is>
          <t>能量棒/巧克力</t>
        </is>
      </c>
      <c r="C53" s="8" t="inlineStr">
        <is>
          <t>D2 勒巴沟、D4 尕尔寺</t>
        </is>
      </c>
      <c r="D53" s="9" t="n">
        <v>5</v>
      </c>
      <c r="E53" s="10" t="inlineStr">
        <is>
          <t>必备</t>
        </is>
      </c>
    </row>
    <row r="54" ht="20" customHeight="1">
      <c r="A54" s="6" t="inlineStr"/>
      <c r="B54" s="7" t="inlineStr">
        <is>
          <t>自热饭 1-2 份</t>
        </is>
      </c>
      <c r="C54" s="8" t="inlineStr">
        <is>
          <t>D2 勒巴沟口午餐</t>
        </is>
      </c>
      <c r="D54" s="9" t="n">
        <v>2</v>
      </c>
      <c r="E54" s="12" t="inlineStr">
        <is>
          <t>推荐</t>
        </is>
      </c>
    </row>
    <row r="55" ht="20" customHeight="1">
      <c r="A55" s="6" t="inlineStr"/>
      <c r="B55" s="7" t="inlineStr">
        <is>
          <t>保鲜袋/垃圾袋</t>
        </is>
      </c>
      <c r="C55" s="8" t="inlineStr">
        <is>
          <t>带走垃圾，无痕</t>
        </is>
      </c>
      <c r="D55" s="9" t="n">
        <v>5</v>
      </c>
      <c r="E55" s="10" t="inlineStr">
        <is>
          <t>必备</t>
        </is>
      </c>
    </row>
    <row r="57" ht="22" customHeight="1">
      <c r="A57" s="16" t="inlineStr">
        <is>
          <t>六、电子设备</t>
        </is>
      </c>
    </row>
    <row r="58" ht="20" customHeight="1">
      <c r="A58" s="6" t="inlineStr"/>
      <c r="B58" s="7" t="inlineStr">
        <is>
          <t>手机 + 充电宝 20000mAh</t>
        </is>
      </c>
      <c r="C58" s="8" t="inlineStr">
        <is>
          <t>长途车导航、拍照</t>
        </is>
      </c>
      <c r="D58" s="9" t="n">
        <v>1</v>
      </c>
      <c r="E58" s="10" t="inlineStr">
        <is>
          <t>必备</t>
        </is>
      </c>
    </row>
    <row r="59" ht="20" customHeight="1">
      <c r="A59" s="6" t="inlineStr"/>
      <c r="B59" s="7" t="inlineStr">
        <is>
          <t>车载充电器/点烟器USB</t>
        </is>
      </c>
      <c r="C59" s="8" t="inlineStr">
        <is>
          <t>结古-囊谦 170km</t>
        </is>
      </c>
      <c r="D59" s="9" t="n">
        <v>1</v>
      </c>
      <c r="E59" s="10" t="inlineStr">
        <is>
          <t>必备</t>
        </is>
      </c>
    </row>
    <row r="60" ht="20" customHeight="1">
      <c r="A60" s="6" t="inlineStr"/>
      <c r="B60" s="7" t="inlineStr">
        <is>
          <t>相机 + 备用电池 2 块</t>
        </is>
      </c>
      <c r="C60" s="8" t="inlineStr">
        <is>
          <t>低温掉电快，贴身保暖</t>
        </is>
      </c>
      <c r="D60" s="9" t="n">
        <v>2</v>
      </c>
      <c r="E60" s="10" t="inlineStr">
        <is>
          <t>必备</t>
        </is>
      </c>
    </row>
    <row r="61" ht="20" customHeight="1">
      <c r="A61" s="6" t="inlineStr"/>
      <c r="B61" s="7" t="inlineStr">
        <is>
          <t>储存卡 64G+</t>
        </is>
      </c>
      <c r="C61" s="8" t="inlineStr">
        <is>
          <t>寺院、神山出片多</t>
        </is>
      </c>
      <c r="D61" s="9" t="n">
        <v>2</v>
      </c>
      <c r="E61" s="10" t="inlineStr">
        <is>
          <t>必备</t>
        </is>
      </c>
    </row>
    <row r="62" ht="20" customHeight="1">
      <c r="A62" s="6" t="inlineStr"/>
      <c r="B62" s="7" t="inlineStr">
        <is>
          <t>数据线(Type-C/Lightning)</t>
        </is>
      </c>
      <c r="C62" s="8" t="inlineStr">
        <is>
          <t>多口</t>
        </is>
      </c>
      <c r="D62" s="9" t="n">
        <v>2</v>
      </c>
      <c r="E62" s="10" t="inlineStr">
        <is>
          <t>必备</t>
        </is>
      </c>
    </row>
    <row r="64" ht="22" customHeight="1">
      <c r="A64" s="17" t="inlineStr">
        <is>
          <t>七、洗漱与日用</t>
        </is>
      </c>
    </row>
    <row r="65" ht="20" customHeight="1">
      <c r="A65" s="6" t="inlineStr"/>
      <c r="B65" s="7" t="inlineStr">
        <is>
          <t>牙刷/牙膏</t>
        </is>
      </c>
      <c r="C65" s="8" t="inlineStr">
        <is>
          <t>—</t>
        </is>
      </c>
      <c r="D65" s="9" t="n">
        <v>1</v>
      </c>
      <c r="E65" s="10" t="inlineStr">
        <is>
          <t>必备</t>
        </is>
      </c>
    </row>
    <row r="66" ht="20" customHeight="1">
      <c r="A66" s="6" t="inlineStr"/>
      <c r="B66" s="7" t="inlineStr">
        <is>
          <t>速干毛巾</t>
        </is>
      </c>
      <c r="C66" s="8" t="inlineStr">
        <is>
          <t>—</t>
        </is>
      </c>
      <c r="D66" s="9" t="n">
        <v>2</v>
      </c>
      <c r="E66" s="10" t="inlineStr">
        <is>
          <t>必备</t>
        </is>
      </c>
    </row>
    <row r="67" ht="20" customHeight="1">
      <c r="A67" s="6" t="inlineStr"/>
      <c r="B67" s="7" t="inlineStr">
        <is>
          <t>洗发沐浴二合一</t>
        </is>
      </c>
      <c r="C67" s="8" t="inlineStr">
        <is>
          <t>—</t>
        </is>
      </c>
      <c r="D67" s="9" t="n">
        <v>1</v>
      </c>
      <c r="E67" s="10" t="inlineStr">
        <is>
          <t>必备</t>
        </is>
      </c>
    </row>
    <row r="68" ht="20" customHeight="1">
      <c r="A68" s="6" t="inlineStr"/>
      <c r="B68" s="7" t="inlineStr">
        <is>
          <t>保湿面霜+润体乳</t>
        </is>
      </c>
      <c r="C68" s="8" t="inlineStr">
        <is>
          <t>高原极干</t>
        </is>
      </c>
      <c r="D68" s="9" t="n">
        <v>1</v>
      </c>
      <c r="E68" s="10" t="inlineStr">
        <is>
          <t>必备</t>
        </is>
      </c>
    </row>
    <row r="69" ht="20" customHeight="1">
      <c r="A69" s="6" t="inlineStr"/>
      <c r="B69" s="7" t="inlineStr">
        <is>
          <t>湿巾/纸巾</t>
        </is>
      </c>
      <c r="C69" s="8" t="inlineStr">
        <is>
          <t>—</t>
        </is>
      </c>
      <c r="D69" s="9" t="n">
        <v>2</v>
      </c>
      <c r="E69" s="10" t="inlineStr">
        <is>
          <t>必备</t>
        </is>
      </c>
    </row>
    <row r="70" ht="20" customHeight="1">
      <c r="A70" s="6" t="inlineStr"/>
      <c r="B70" s="7" t="inlineStr">
        <is>
          <t>免洗洗手液</t>
        </is>
      </c>
      <c r="C70" s="8" t="inlineStr">
        <is>
          <t>—</t>
        </is>
      </c>
      <c r="D70" s="9" t="n">
        <v>1</v>
      </c>
      <c r="E70" s="10" t="inlineStr">
        <is>
          <t>必备</t>
        </is>
      </c>
    </row>
    <row r="71" ht="20" customHeight="1">
      <c r="A71" s="6" t="inlineStr"/>
      <c r="B71" s="7" t="inlineStr">
        <is>
          <t>隐形眼镜护理液</t>
        </is>
      </c>
      <c r="C71" s="8" t="inlineStr">
        <is>
          <t>高原干眼，备框架眼镜</t>
        </is>
      </c>
      <c r="D71" s="9" t="n">
        <v>1</v>
      </c>
      <c r="E71" s="12" t="inlineStr">
        <is>
          <t>推荐</t>
        </is>
      </c>
    </row>
    <row r="73" ht="22" customHeight="1">
      <c r="A73" s="18" t="inlineStr">
        <is>
          <t>八、其他</t>
        </is>
      </c>
    </row>
    <row r="74" ht="20" customHeight="1">
      <c r="A74" s="6" t="inlineStr"/>
      <c r="B74" s="7" t="inlineStr">
        <is>
          <t>大保温杯</t>
        </is>
      </c>
      <c r="C74" s="8" t="inlineStr">
        <is>
          <t>装酥油茶/热水</t>
        </is>
      </c>
      <c r="D74" s="9" t="n">
        <v>1</v>
      </c>
      <c r="E74" s="10" t="inlineStr">
        <is>
          <t>必备</t>
        </is>
      </c>
    </row>
    <row r="75" ht="20" customHeight="1">
      <c r="A75" s="6" t="inlineStr"/>
      <c r="B75" s="7" t="inlineStr">
        <is>
          <t>折叠购物袋</t>
        </is>
      </c>
      <c r="C75" s="8" t="inlineStr">
        <is>
          <t>买红盐、黑陶、唐卡</t>
        </is>
      </c>
      <c r="D75" s="9" t="n">
        <v>2</v>
      </c>
      <c r="E75" s="10" t="inlineStr">
        <is>
          <t>必备</t>
        </is>
      </c>
    </row>
    <row r="76" ht="20" customHeight="1">
      <c r="A76" s="6" t="inlineStr"/>
      <c r="B76" s="7" t="inlineStr">
        <is>
          <t>小笔记本+笔</t>
        </is>
      </c>
      <c r="C76" s="8" t="inlineStr">
        <is>
          <t>寺院/特产店记信息</t>
        </is>
      </c>
      <c r="D76" s="9" t="n">
        <v>1</v>
      </c>
      <c r="E76" s="10" t="inlineStr">
        <is>
          <t>必备</t>
        </is>
      </c>
    </row>
    <row r="77" ht="20" customHeight="1">
      <c r="A77" s="6" t="inlineStr"/>
      <c r="B77" s="7" t="inlineStr">
        <is>
          <t>零钱(1/5/10 元)</t>
        </is>
      </c>
      <c r="C77" s="8" t="inlineStr">
        <is>
          <t>嘛呢堆、转经、供奉</t>
        </is>
      </c>
      <c r="D77" s="9" t="n">
        <v>1</v>
      </c>
      <c r="E77" s="10" t="inlineStr">
        <is>
          <t>必备</t>
        </is>
      </c>
    </row>
    <row r="78" ht="20" customHeight="1">
      <c r="A78" s="6" t="inlineStr"/>
      <c r="B78" s="7" t="inlineStr">
        <is>
          <t>多用途刀</t>
        </is>
      </c>
      <c r="C78" s="8" t="inlineStr">
        <is>
          <t>拆包装(必须托运)</t>
        </is>
      </c>
      <c r="D78" s="9" t="n">
        <v>1</v>
      </c>
      <c r="E78" s="12" t="inlineStr">
        <is>
          <t>推荐</t>
        </is>
      </c>
    </row>
    <row r="79" ht="20" customHeight="1">
      <c r="A79" s="6" t="inlineStr"/>
      <c r="B79" s="7" t="inlineStr">
        <is>
          <t>旅行枕/眼罩/耳塞</t>
        </is>
      </c>
      <c r="C79" s="8" t="inlineStr">
        <is>
          <t>长途车 + 客栈隔音差</t>
        </is>
      </c>
      <c r="D79" s="9" t="n">
        <v>1</v>
      </c>
      <c r="E79" s="12" t="inlineStr">
        <is>
          <t>推荐</t>
        </is>
      </c>
    </row>
    <row r="82" ht="24" customHeight="1">
      <c r="A82" s="19" t="inlineStr">
        <is>
          <t>📅 行程对应重点提醒</t>
        </is>
      </c>
    </row>
    <row r="83" ht="20" customHeight="1">
      <c r="A83" s="20" t="inlineStr">
        <is>
          <t>D1 (9/23) 落地</t>
        </is>
      </c>
      <c r="B83" s="21" t="n"/>
      <c r="C83" s="22" t="inlineStr">
        <is>
          <t>航班多喝水，落地缓步慢行；机场海拔 3950m，首晚不洗澡、不喝酒</t>
        </is>
      </c>
      <c r="D83" s="21" t="n"/>
      <c r="E83" s="21" t="n"/>
    </row>
    <row r="84" ht="20" customHeight="1">
      <c r="A84" s="20" t="inlineStr">
        <is>
          <t>D2 (9/24) 环结古</t>
        </is>
      </c>
      <c r="B84" s="21" t="n"/>
      <c r="C84" s="22" t="inlineStr">
        <is>
          <t>勒巴沟徒步约 2-3km，带登山杖+小包；通天河风口需防风帽</t>
        </is>
      </c>
      <c r="D84" s="21" t="n"/>
      <c r="E84" s="21" t="n"/>
    </row>
    <row r="85" ht="20" customHeight="1">
      <c r="A85" s="20" t="inlineStr">
        <is>
          <t>D3 (9/25) →囊谦</t>
        </is>
      </c>
      <c r="B85" s="21" t="n"/>
      <c r="C85" s="22" t="inlineStr">
        <is>
          <t>隆宝滩 4200m 全程最高，备氧气罐；G214 隧道段半幅施工，服晕车药</t>
        </is>
      </c>
      <c r="D85" s="21" t="n"/>
      <c r="E85" s="21" t="n"/>
    </row>
    <row r="86" ht="20" customHeight="1">
      <c r="A86" s="20" t="inlineStr">
        <is>
          <t>D4 (9/26) 囊谦深度→送机</t>
        </is>
      </c>
      <c r="B86" s="21" t="n"/>
      <c r="C86" s="22" t="inlineStr">
        <is>
          <t>尕尔寺最后 6km 陡盘山路，9月底清晨可能薄冰，备徒步鞋+登山杖</t>
        </is>
      </c>
      <c r="D86" s="21" t="n"/>
      <c r="E86" s="21" t="n"/>
    </row>
    <row r="87" ht="20" customHeight="1">
      <c r="A87" s="20" t="inlineStr">
        <is>
          <t>9/27 送机离港</t>
        </is>
      </c>
      <c r="B87" s="21" t="n"/>
      <c r="C87" s="22" t="inlineStr">
        <is>
          <t>提前 2 小时到机场，机场海拔 3950m，勿剧烈跑动</t>
        </is>
      </c>
      <c r="D87" s="21" t="n"/>
      <c r="E87" s="21" t="n"/>
    </row>
  </sheetData>
  <autoFilter ref="A5:E88"/>
  <mergeCells count="22">
    <mergeCell ref="A48:E48"/>
    <mergeCell ref="A73:E73"/>
    <mergeCell ref="A64:E64"/>
    <mergeCell ref="A82:E82"/>
    <mergeCell ref="C84:E84"/>
    <mergeCell ref="A1:E1"/>
    <mergeCell ref="A36:E36"/>
    <mergeCell ref="A6:E6"/>
    <mergeCell ref="A87:B87"/>
    <mergeCell ref="A84:B84"/>
    <mergeCell ref="A3:E3"/>
    <mergeCell ref="A86:B86"/>
    <mergeCell ref="A57:E57"/>
    <mergeCell ref="A2:E2"/>
    <mergeCell ref="A85:B85"/>
    <mergeCell ref="C87:E87"/>
    <mergeCell ref="C86:E86"/>
    <mergeCell ref="C83:E83"/>
    <mergeCell ref="A29:E29"/>
    <mergeCell ref="A13:E13"/>
    <mergeCell ref="A83:B83"/>
    <mergeCell ref="C85:E85"/>
  </mergeCells>
  <dataValidations count="1">
    <dataValidation sqref="A7 A8 A9 A10 A11 A14 A15 A16 A17 A18 A19 A20 A21 A22 A23 A24 A25 A26 A27 A30 A31 A32 A33 A34 A37 A38 A39 A40 A41 A42 A43 A44 A45 A46 A49 A50 A51 A52 A53 A54 A55 A58 A59 A60 A61 A62 A65 A66 A67 A68 A69 A70 A71 A74 A75 A76 A77 A78 A79" showDropDown="0" showInputMessage="0" showErrorMessage="0" allowBlank="1" promptTitle="勾选" prompt="选择 ✓ 表示已备" type="list">
      <formula1>"✓"</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28" customWidth="1" min="1" max="1"/>
    <col width="10" customWidth="1" min="2" max="2"/>
    <col width="10" customWidth="1" min="3" max="3"/>
    <col width="10" customWidth="1" min="4" max="4"/>
    <col width="10" customWidth="1" min="5" max="5"/>
  </cols>
  <sheetData>
    <row r="1" ht="28" customHeight="1">
      <c r="A1" s="23" t="inlineStr">
        <is>
          <t>物品分类统计（按优先级）</t>
        </is>
      </c>
    </row>
    <row r="3">
      <c r="A3" s="4" t="inlineStr">
        <is>
          <t>分类</t>
        </is>
      </c>
      <c r="B3" s="4" t="inlineStr">
        <is>
          <t>必备</t>
        </is>
      </c>
      <c r="C3" s="4" t="inlineStr">
        <is>
          <t>推荐</t>
        </is>
      </c>
      <c r="D3" s="4" t="inlineStr">
        <is>
          <t>可选</t>
        </is>
      </c>
      <c r="E3" s="4" t="inlineStr">
        <is>
          <t>合计</t>
        </is>
      </c>
    </row>
    <row r="4" ht="22" customHeight="1">
      <c r="A4" s="7" t="inlineStr">
        <is>
          <t>一、证件与现金</t>
        </is>
      </c>
      <c r="B4" s="9" t="n">
        <v>5</v>
      </c>
      <c r="C4" s="9" t="n">
        <v>0</v>
      </c>
      <c r="D4" s="9" t="n">
        <v>0</v>
      </c>
      <c r="E4" s="9" t="n">
        <v>5</v>
      </c>
    </row>
    <row r="5" ht="22" customHeight="1">
      <c r="A5" s="7" t="inlineStr">
        <is>
          <t>二、衣物(分层+防风保暖)</t>
        </is>
      </c>
      <c r="B5" s="9" t="n">
        <v>11</v>
      </c>
      <c r="C5" s="9" t="n">
        <v>3</v>
      </c>
      <c r="D5" s="9" t="n">
        <v>0</v>
      </c>
      <c r="E5" s="9" t="n">
        <v>14</v>
      </c>
    </row>
    <row r="6" ht="22" customHeight="1">
      <c r="A6" s="7" t="inlineStr">
        <is>
          <t>三、防晒(紫外线极强)</t>
        </is>
      </c>
      <c r="B6" s="9" t="n">
        <v>4</v>
      </c>
      <c r="C6" s="9" t="n">
        <v>1</v>
      </c>
      <c r="D6" s="9" t="n">
        <v>0</v>
      </c>
      <c r="E6" s="9" t="n">
        <v>5</v>
      </c>
    </row>
    <row r="7" ht="22" customHeight="1">
      <c r="A7" s="7" t="inlineStr">
        <is>
          <t>四、高反 &amp; 常用药</t>
        </is>
      </c>
      <c r="B7" s="9" t="n">
        <v>10</v>
      </c>
      <c r="C7" s="9" t="n">
        <v>0</v>
      </c>
      <c r="D7" s="9" t="n">
        <v>0</v>
      </c>
      <c r="E7" s="9" t="n">
        <v>10</v>
      </c>
    </row>
    <row r="8" ht="22" customHeight="1">
      <c r="A8" s="7" t="inlineStr">
        <is>
          <t>五、徒步 &amp; 户外</t>
        </is>
      </c>
      <c r="B8" s="9" t="n">
        <v>6</v>
      </c>
      <c r="C8" s="9" t="n">
        <v>1</v>
      </c>
      <c r="D8" s="9" t="n">
        <v>0</v>
      </c>
      <c r="E8" s="9" t="n">
        <v>7</v>
      </c>
    </row>
    <row r="9" ht="22" customHeight="1">
      <c r="A9" s="7" t="inlineStr">
        <is>
          <t>六、电子设备</t>
        </is>
      </c>
      <c r="B9" s="9" t="n">
        <v>5</v>
      </c>
      <c r="C9" s="9" t="n">
        <v>0</v>
      </c>
      <c r="D9" s="9" t="n">
        <v>0</v>
      </c>
      <c r="E9" s="9" t="n">
        <v>5</v>
      </c>
    </row>
    <row r="10" ht="22" customHeight="1">
      <c r="A10" s="7" t="inlineStr">
        <is>
          <t>七、洗漱与日用</t>
        </is>
      </c>
      <c r="B10" s="9" t="n">
        <v>6</v>
      </c>
      <c r="C10" s="9" t="n">
        <v>1</v>
      </c>
      <c r="D10" s="9" t="n">
        <v>0</v>
      </c>
      <c r="E10" s="9" t="n">
        <v>7</v>
      </c>
    </row>
    <row r="11" ht="22" customHeight="1">
      <c r="A11" s="7" t="inlineStr">
        <is>
          <t>八、其他</t>
        </is>
      </c>
      <c r="B11" s="9" t="n">
        <v>4</v>
      </c>
      <c r="C11" s="9" t="n">
        <v>2</v>
      </c>
      <c r="D11" s="9" t="n">
        <v>0</v>
      </c>
      <c r="E11" s="9" t="n">
        <v>6</v>
      </c>
    </row>
    <row r="12" ht="22" customHeight="1">
      <c r="A12" s="24" t="inlineStr">
        <is>
          <t>合计</t>
        </is>
      </c>
      <c r="B12" s="4">
        <f>SUM(B4:B11)</f>
        <v/>
      </c>
      <c r="C12" s="4">
        <f>SUM(C4:C11)</f>
        <v/>
      </c>
      <c r="D12" s="4">
        <f>SUM(D4:D11)</f>
        <v/>
      </c>
      <c r="E12" s="4">
        <f>SUM(E4:E11)</f>
        <v/>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2026-09-18T08:35:27Z</dcterms:created>
  <dcterms:modified xsi:type="dcterms:W3CDTF">2026-09-18T08:35:27Z</dcterms:modified>
</cp:coreProperties>
</file>